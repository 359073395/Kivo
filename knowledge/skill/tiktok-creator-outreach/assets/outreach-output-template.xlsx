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04701cf20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c241d219e14201"/>
    <x:sheet xmlns:r="http://schemas.openxmlformats.org/officeDocument/2006/relationships" name="Scoring_Result" sheetId="2" r:id="Re06b1f0205ed4fa0"/>
    <x:sheet xmlns:r="http://schemas.openxmlformats.org/officeDocument/2006/relationships" name="Standard_Review" sheetId="3" r:id="Rba6c7d905b5a4de9"/>
    <x:sheet xmlns:r="http://schemas.openxmlformats.org/officeDocument/2006/relationships" name="Deep_Review" sheetId="4" r:id="R71fbd34320074718"/>
    <x:sheet xmlns:r="http://schemas.openxmlformats.org/officeDocument/2006/relationships" name="Outreach_Drafts" sheetId="5" r:id="R76e06f352265478c"/>
    <x:sheet xmlns:r="http://schemas.openxmlformats.org/officeDocument/2006/relationships" name="Data_Issues" sheetId="6" r:id="R9982e6cf8bfe4e5f"/>
    <x:sheet xmlns:r="http://schemas.openxmlformats.org/officeDocument/2006/relationships" name="Funnel_Tracker" sheetId="7" r:id="Reeb9dd9c9a6540f2"/>
    <x:sheet xmlns:r="http://schemas.openxmlformats.org/officeDocument/2006/relationships" name="Excluded_Creators" sheetId="8" r:id="R523a6fa96b2f400f"/>
    <x:sheet xmlns:r="http://schemas.openxmlformats.org/officeDocument/2006/relationships" name="Scoring_Rules" sheetId="9" r:id="R7c00189fe6d5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1"/>
      <x:color rgb="FFFFFFFF"/>
      <x:name val="Carlito"/>
    </x:font>
    <x:font>
      <x:b/>
      <x:sz val="15"/>
      <x:color rgb="FF6D28D9"/>
      <x:name val="Carlito"/>
    </x:font>
    <x:font>
      <x:b/>
      <x:sz val="15"/>
      <x:color rgb="FF0F766E"/>
      <x:name val="Carlito"/>
    </x:font>
    <x:font>
      <x:b/>
      <x:sz val="11"/>
      <x:color rgb="FFB7791F"/>
      <x:name val="Carlito"/>
    </x:font>
    <x:font>
      <x:sz val="11"/>
      <x:color rgb="FF8B1E1E"/>
      <x:name val="Carlito"/>
    </x:font>
    <x:font>
      <x:b/>
      <x:sz val="9"/>
      <x:color rgb="FFFFFFFF"/>
      <x:name val="Carlito"/>
    </x:font>
    <x:font>
      <x:sz val="9"/>
      <x:color rgb="FF172033"/>
      <x:name val="Carlito"/>
    </x:font>
    <x:font>
      <x:sz val="10"/>
      <x:color rgb="FF17203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82B5B"/>
      </x:patternFill>
    </x:fill>
    <x:fill>
      <x:patternFill patternType="solid">
        <x:fgColor rgb="FFEEE9FF"/>
      </x:patternFill>
    </x:fill>
    <x:fill>
      <x:patternFill patternType="solid">
        <x:fgColor rgb="FF6D28D9"/>
      </x:patternFill>
    </x:fill>
    <x:fill>
      <x:patternFill patternType="solid">
        <x:fgColor rgb="FF0F766E"/>
      </x:patternFill>
    </x:fill>
    <x:fill>
      <x:patternFill patternType="solid">
        <x:fgColor rgb="FFE7F6EF"/>
      </x:patternFill>
    </x:fill>
    <x:fill>
      <x:patternFill patternType="solid">
        <x:fgColor rgb="FFFFF7D6"/>
      </x:patternFill>
    </x:fill>
    <x:fill>
      <x:patternFill patternType="solid">
        <x:fgColor rgb="FFFDECEC"/>
      </x:patternFill>
    </x:fill>
    <x:fill>
      <x:patternFill patternType="solid">
        <x:fgColor rgb="FFFFFFFF"/>
      </x:patternFill>
    </x:fill>
    <x:fill>
      <x:patternFill patternType="solid">
        <x:fgColor rgb="FFB7791F"/>
      </x:patternFill>
    </x:fill>
    <x:fill>
      <x:patternFill patternType="solid">
        <x:fgColor rgb="FFA61B1B"/>
      </x:patternFill>
    </x:fill>
  </x:fills>
  <x:borders count="5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right style="thin">
        <x:color rgb="FFD9DEE8"/>
      </x:right>
    </x:border>
    <x:border>
      <x:left style="thin">
        <x:color rgb="FFD9DEE8"/>
      </x:left>
      <x:right style="thin">
        <x:color rgb="FFD9DEE8"/>
      </x:right>
    </x:border>
    <x:border>
      <x:left style="thin">
        <x:color rgb="FFD9DEE8"/>
      </x:left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2" xfId="0" applyNumberFormat="1" applyFont="1" applyFill="1" applyBorder="1"/>
    <x:xf numFmtId="0" fontId="9" fillId="9" borderId="3" xfId="0" applyNumberFormat="1" applyFont="1" applyFill="1" applyBorder="1"/>
    <x:xf numFmtId="0" fontId="9" fillId="9" borderId="4" xfId="0" applyNumberFormat="1" applyFont="1" applyFill="1" applyBorder="1"/>
    <x:xf numFmtId="0" fontId="9" fillId="9" borderId="2" xfId="0" applyNumberFormat="1" applyFont="1" applyFill="1" applyBorder="1" applyAlignment="1">
      <x:alignment vertical="top"/>
    </x:xf>
    <x:xf numFmtId="0" fontId="9" fillId="9" borderId="3" xfId="0" applyNumberFormat="1" applyFont="1" applyFill="1" applyBorder="1" applyAlignment="1">
      <x:alignment vertical="top"/>
    </x:xf>
    <x:xf numFmtId="0" fontId="9" fillId="9" borderId="4" xfId="0" applyNumberFormat="1" applyFont="1" applyFill="1" applyBorder="1" applyAlignment="1">
      <x:alignment vertical="top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" xfId="0" applyNumberFormat="1" applyFont="1" applyFill="1" applyBorder="1"/>
    <x:xf numFmtId="0" fontId="8" fillId="11" borderId="1" xfId="0" applyNumberFormat="1" applyFont="1" applyFill="1" applyBorder="1" applyAlignment="1">
      <x:alignment wrapText="1"/>
    </x:xf>
    <x:xf numFmtId="0" fontId="8" fillId="11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32820eaa74b07" /><Relationship Type="http://schemas.openxmlformats.org/officeDocument/2006/relationships/theme" Target="/xl/theme/theme1.xml" Id="R07fe3f80f75249a9" /><Relationship Type="http://schemas.openxmlformats.org/officeDocument/2006/relationships/sharedStrings" Target="/xl/sharedStrings.xml" Id="Rf30e8692581045d1" /><Relationship Type="http://schemas.openxmlformats.org/officeDocument/2006/relationships/worksheet" Target="/xl/worksheets/sheet1.xml" Id="R8dc241d219e14201" /><Relationship Type="http://schemas.openxmlformats.org/officeDocument/2006/relationships/worksheet" Target="/xl/worksheets/sheet2.xml" Id="Re06b1f0205ed4fa0" /><Relationship Type="http://schemas.openxmlformats.org/officeDocument/2006/relationships/worksheet" Target="/xl/worksheets/sheet3.xml" Id="Rba6c7d905b5a4de9" /><Relationship Type="http://schemas.openxmlformats.org/officeDocument/2006/relationships/worksheet" Target="/xl/worksheets/sheet4.xml" Id="R71fbd34320074718" /><Relationship Type="http://schemas.openxmlformats.org/officeDocument/2006/relationships/worksheet" Target="/xl/worksheets/sheet5.xml" Id="R76e06f352265478c" /><Relationship Type="http://schemas.openxmlformats.org/officeDocument/2006/relationships/worksheet" Target="/xl/worksheets/sheet6.xml" Id="R9982e6cf8bfe4e5f" /><Relationship Type="http://schemas.openxmlformats.org/officeDocument/2006/relationships/worksheet" Target="/xl/worksheets/sheet7.xml" Id="Reeb9dd9c9a6540f2" /><Relationship Type="http://schemas.openxmlformats.org/officeDocument/2006/relationships/worksheet" Target="/xl/worksheets/sheet8.xml" Id="R523a6fa96b2f400f" /><Relationship Type="http://schemas.openxmlformats.org/officeDocument/2006/relationships/worksheet" Target="/xl/worksheets/sheet9.xml" Id="R7c00189fe6d5450c" /></Relationships>
</file>

<file path=xl/tables/table1.xml><?xml version="1.0" encoding="utf-8"?>
<x:table xmlns:x="http://schemas.openxmlformats.org/spreadsheetml/2006/main" id="1" name="ScoringResultTable" displayName="ScoringResultTable" ref="A4:AR5" headerRowCount="1" totalsRowCount="0" totalsRowShown="0">
  <x:tableColumns count="44">
    <x:tableColumn id="1" name="rank"/>
    <x:tableColumn id="2" name="row_number"/>
    <x:tableColumn id="3" name="source_sheet"/>
    <x:tableColumn id="4" name="creator_handle"/>
    <x:tableColumn id="5" name="creator_url"/>
    <x:tableColumn id="6" name="nickname"/>
    <x:tableColumn id="7" name="country"/>
    <x:tableColumn id="8" name="language"/>
    <x:tableColumn id="9" name="followers"/>
    <x:tableColumn id="10" name="recent_views_median"/>
    <x:tableColumn id="11" name="engagement_rate_pct"/>
    <x:tableColumn id="12" name="content_category"/>
    <x:tableColumn id="13" name="authorized_gmv"/>
    <x:tableColumn id="14" name="units_sold"/>
    <x:tableColumn id="15" name="avg_shoppable_video_views"/>
    <x:tableColumn id="16" name="video_engagement_rate_pct"/>
    <x:tableColumn id="17" name="audience_female_pct"/>
    <x:tableColumn id="18" name="audience_top_age_range"/>
    <x:tableColumn id="19" name="category_gmv_distribution"/>
    <x:tableColumn id="20" name="grade"/>
    <x:tableColumn id="21" name="score_status"/>
    <x:tableColumn id="22" name="total_score"/>
    <x:tableColumn id="23" name="positive_score"/>
    <x:tableColumn id="24" name="known_positive_score"/>
    <x:tableColumn id="25" name="possible_score_range"/>
    <x:tableColumn id="26" name="evidence_coverage_pct"/>
    <x:tableColumn id="27" name="risk_deduction"/>
    <x:tableColumn id="28" name="audience_match_score"/>
    <x:tableColumn id="29" name="content_ability_score"/>
    <x:tableColumn id="30" name="commerce_efficiency_score"/>
    <x:tableColumn id="31" name="cooperation_score"/>
    <x:tableColumn id="32" name="reviewed_video_count"/>
    <x:tableColumn id="33" name="data_facts"/>
    <x:tableColumn id="34" name="content_inference"/>
    <x:tableColumn id="35" name="manual_verification"/>
    <x:tableColumn id="36" name="evidence_sources"/>
    <x:tableColumn id="37" name="missing_data"/>
    <x:tableColumn id="38" name="risk_points"/>
    <x:tableColumn id="39" name="recommended_strategy"/>
    <x:tableColumn id="40" name="recommendation"/>
    <x:tableColumn id="41" name="next_action"/>
    <x:tableColumn id="42" name="manual_calibration_sample"/>
    <x:tableColumn id="43" name="review_status"/>
    <x:tableColumn id="44" name="model_versi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tandardReviewTable" displayName="StandardReviewTable" ref="A4:BY5" headerRowCount="1" totalsRowCount="0" totalsRowShown="0">
  <x:tableColumns count="77">
    <x:tableColumn id="1" name="queue_priority"/>
    <x:tableColumn id="2" name="selection_stage"/>
    <x:tableColumn id="3" name="selection_reason"/>
    <x:tableColumn id="4" name="current_grade"/>
    <x:tableColumn id="5" name="current_total_score"/>
    <x:tableColumn id="6" name="evidence_coverage_pct"/>
    <x:tableColumn id="7" name="missing_data"/>
    <x:tableColumn id="8" name="recommended_video_review_count"/>
    <x:tableColumn id="9" name="deep_review_status"/>
    <x:tableColumn id="10" name="source_row_number"/>
    <x:tableColumn id="11" name="source_sheet"/>
    <x:tableColumn id="12" name="creator_handle"/>
    <x:tableColumn id="13" name="creator_url"/>
    <x:tableColumn id="14" name="nickname"/>
    <x:tableColumn id="15" name="country"/>
    <x:tableColumn id="16" name="language"/>
    <x:tableColumn id="17" name="followers"/>
    <x:tableColumn id="18" name="recent_views"/>
    <x:tableColumn id="19" name="engagement_rate_pct"/>
    <x:tableColumn id="20" name="content_category"/>
    <x:tableColumn id="21" name="audience_profile"/>
    <x:tableColumn id="22" name="commerce_metrics"/>
    <x:tableColumn id="23" name="authorized_gmv"/>
    <x:tableColumn id="24" name="units_sold"/>
    <x:tableColumn id="25" name="avg_shoppable_video_views"/>
    <x:tableColumn id="26" name="video_engagement_rate_pct"/>
    <x:tableColumn id="27" name="audience_female_pct"/>
    <x:tableColumn id="28" name="audience_top_age_range"/>
    <x:tableColumn id="29" name="category_gmv_distribution"/>
    <x:tableColumn id="30" name="contact_channel"/>
    <x:tableColumn id="31" name="sample_contact_status"/>
    <x:tableColumn id="32" name="notes"/>
    <x:tableColumn id="33" name="creator_type"/>
    <x:tableColumn id="34" name="recent_content_observation"/>
    <x:tableColumn id="35" name="personalization_verified"/>
    <x:tableColumn id="36" name="content_category_relevance"/>
    <x:tableColumn id="37" name="days_since_last_post"/>
    <x:tableColumn id="38" name="risk_level"/>
    <x:tableColumn id="39" name="do_not_contact"/>
    <x:tableColumn id="40" name="commission_pct"/>
    <x:tableColumn id="41" name="estimated_cash_fee"/>
    <x:tableColumn id="42" name="audience_country_language_score"/>
    <x:tableColumn id="43" name="audience_core_profile_score"/>
    <x:tableColumn id="44" name="audience_interest_category_score"/>
    <x:tableColumn id="45" name="audience_use_case_score"/>
    <x:tableColumn id="46" name="content_hook_score"/>
    <x:tableColumn id="47" name="content_demo_score"/>
    <x:tableColumn id="48" name="content_expression_score"/>
    <x:tableColumn id="49" name="content_production_score"/>
    <x:tableColumn id="50" name="content_stability_score"/>
    <x:tableColumn id="51" name="commerce_view_fit_score"/>
    <x:tableColumn id="52" name="commerce_purchase_intent_score"/>
    <x:tableColumn id="53" name="commerce_content_ratio_score"/>
    <x:tableColumn id="54" name="commerce_explanation_cta_score"/>
    <x:tableColumn id="55" name="commerce_data_score"/>
    <x:tableColumn id="56" name="cooperation_contact_score"/>
    <x:tableColumn id="57" name="cooperation_budget_score"/>
    <x:tableColumn id="58" name="cooperation_history_score"/>
    <x:tableColumn id="59" name="cooperation_schedule_logistics_score"/>
    <x:tableColumn id="60" name="risk_deduction"/>
    <x:tableColumn id="61" name="reviewed_video_count"/>
    <x:tableColumn id="62" name="reviewed_video_urls"/>
    <x:tableColumn id="63" name="hook_evidence"/>
    <x:tableColumn id="64" name="demo_evidence"/>
    <x:tableColumn id="65" name="expression_evidence"/>
    <x:tableColumn id="66" name="production_evidence"/>
    <x:tableColumn id="67" name="stability_evidence"/>
    <x:tableColumn id="68" name="purchase_intent_comment_evidence"/>
    <x:tableColumn id="69" name="commerce_content_ratio_evidence"/>
    <x:tableColumn id="70" name="commerce_explanation_cta_evidence"/>
    <x:tableColumn id="71" name="risk_review_evidence"/>
    <x:tableColumn id="72" name="data_facts"/>
    <x:tableColumn id="73" name="content_inference"/>
    <x:tableColumn id="74" name="manual_verification"/>
    <x:tableColumn id="75" name="evidence_sources"/>
    <x:tableColumn id="76" name="risk_points"/>
    <x:tableColumn id="77" name="recommended_strategy_overrid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eepReviewTable" displayName="DeepReviewTable" ref="A4:BY5" headerRowCount="1" totalsRowCount="0" totalsRowShown="0">
  <x:tableColumns count="77">
    <x:tableColumn id="1" name="queue_priority"/>
    <x:tableColumn id="2" name="selection_stage"/>
    <x:tableColumn id="3" name="selection_reason"/>
    <x:tableColumn id="4" name="current_grade"/>
    <x:tableColumn id="5" name="current_total_score"/>
    <x:tableColumn id="6" name="evidence_coverage_pct"/>
    <x:tableColumn id="7" name="missing_data"/>
    <x:tableColumn id="8" name="recommended_video_review_count"/>
    <x:tableColumn id="9" name="deep_review_status"/>
    <x:tableColumn id="10" name="source_row_number"/>
    <x:tableColumn id="11" name="source_sheet"/>
    <x:tableColumn id="12" name="creator_handle"/>
    <x:tableColumn id="13" name="creator_url"/>
    <x:tableColumn id="14" name="nickname"/>
    <x:tableColumn id="15" name="country"/>
    <x:tableColumn id="16" name="language"/>
    <x:tableColumn id="17" name="followers"/>
    <x:tableColumn id="18" name="recent_views"/>
    <x:tableColumn id="19" name="engagement_rate_pct"/>
    <x:tableColumn id="20" name="content_category"/>
    <x:tableColumn id="21" name="audience_profile"/>
    <x:tableColumn id="22" name="commerce_metrics"/>
    <x:tableColumn id="23" name="authorized_gmv"/>
    <x:tableColumn id="24" name="units_sold"/>
    <x:tableColumn id="25" name="avg_shoppable_video_views"/>
    <x:tableColumn id="26" name="video_engagement_rate_pct"/>
    <x:tableColumn id="27" name="audience_female_pct"/>
    <x:tableColumn id="28" name="audience_top_age_range"/>
    <x:tableColumn id="29" name="category_gmv_distribution"/>
    <x:tableColumn id="30" name="contact_channel"/>
    <x:tableColumn id="31" name="sample_contact_status"/>
    <x:tableColumn id="32" name="notes"/>
    <x:tableColumn id="33" name="creator_type"/>
    <x:tableColumn id="34" name="recent_content_observation"/>
    <x:tableColumn id="35" name="personalization_verified"/>
    <x:tableColumn id="36" name="content_category_relevance"/>
    <x:tableColumn id="37" name="days_since_last_post"/>
    <x:tableColumn id="38" name="risk_level"/>
    <x:tableColumn id="39" name="do_not_contact"/>
    <x:tableColumn id="40" name="commission_pct"/>
    <x:tableColumn id="41" name="estimated_cash_fee"/>
    <x:tableColumn id="42" name="audience_country_language_score"/>
    <x:tableColumn id="43" name="audience_core_profile_score"/>
    <x:tableColumn id="44" name="audience_interest_category_score"/>
    <x:tableColumn id="45" name="audience_use_case_score"/>
    <x:tableColumn id="46" name="content_hook_score"/>
    <x:tableColumn id="47" name="content_demo_score"/>
    <x:tableColumn id="48" name="content_expression_score"/>
    <x:tableColumn id="49" name="content_production_score"/>
    <x:tableColumn id="50" name="content_stability_score"/>
    <x:tableColumn id="51" name="commerce_view_fit_score"/>
    <x:tableColumn id="52" name="commerce_purchase_intent_score"/>
    <x:tableColumn id="53" name="commerce_content_ratio_score"/>
    <x:tableColumn id="54" name="commerce_explanation_cta_score"/>
    <x:tableColumn id="55" name="commerce_data_score"/>
    <x:tableColumn id="56" name="cooperation_contact_score"/>
    <x:tableColumn id="57" name="cooperation_budget_score"/>
    <x:tableColumn id="58" name="cooperation_history_score"/>
    <x:tableColumn id="59" name="cooperation_schedule_logistics_score"/>
    <x:tableColumn id="60" name="risk_deduction"/>
    <x:tableColumn id="61" name="reviewed_video_count"/>
    <x:tableColumn id="62" name="reviewed_video_urls"/>
    <x:tableColumn id="63" name="hook_evidence"/>
    <x:tableColumn id="64" name="demo_evidence"/>
    <x:tableColumn id="65" name="expression_evidence"/>
    <x:tableColumn id="66" name="production_evidence"/>
    <x:tableColumn id="67" name="stability_evidence"/>
    <x:tableColumn id="68" name="purchase_intent_comment_evidence"/>
    <x:tableColumn id="69" name="commerce_content_ratio_evidence"/>
    <x:tableColumn id="70" name="commerce_explanation_cta_evidence"/>
    <x:tableColumn id="71" name="risk_review_evidence"/>
    <x:tableColumn id="72" name="data_facts"/>
    <x:tableColumn id="73" name="content_inference"/>
    <x:tableColumn id="74" name="manual_verification"/>
    <x:tableColumn id="75" name="evidence_sources"/>
    <x:tableColumn id="76" name="risk_points"/>
    <x:tableColumn id="77" name="recommended_strategy_overrid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OutreachDraftsTable" displayName="OutreachDraftsTable" ref="A4:Q5" headerRowCount="1" totalsRowCount="0" totalsRowShown="0">
  <x:tableColumns count="17">
    <x:tableColumn id="1" name="creator_handle"/>
    <x:tableColumn id="2" name="nickname"/>
    <x:tableColumn id="3" name="grade"/>
    <x:tableColumn id="4" name="total_score"/>
    <x:tableColumn id="5" name="recommended_strategy"/>
    <x:tableColumn id="6" name="strategy_reason"/>
    <x:tableColumn id="7" name="tiktok_dm"/>
    <x:tableColumn id="8" name="email_subject"/>
    <x:tableColumn id="9" name="email_body"/>
    <x:tableColumn id="10" name="follow_up_48_72h"/>
    <x:tableColumn id="11" name="sample_communication"/>
    <x:tableColumn id="12" name="draft_readiness"/>
    <x:tableColumn id="13" name="personalization_needs_verification"/>
    <x:tableColumn id="14" name="review_status"/>
    <x:tableColumn id="15" name="send_status"/>
    <x:tableColumn id="16" name="contact_status"/>
    <x:tableColumn id="17" name="message_version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ataIssuesTable" displayName="DataIssuesTable" ref="A4:G5" headerRowCount="1" totalsRowCount="0" totalsRowShown="0">
  <x:tableColumns count="7">
    <x:tableColumn id="1" name="row_number"/>
    <x:tableColumn id="2" name="creator_handle"/>
    <x:tableColumn id="3" name="severity"/>
    <x:tableColumn id="4" name="field"/>
    <x:tableColumn id="5" name="issue_type"/>
    <x:tableColumn id="6" name="message"/>
    <x:tableColumn id="7" name="manual_action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FunnelTrackerTable" displayName="FunnelTrackerTable" ref="A4:S5" headerRowCount="1" totalsRowCount="0" totalsRowShown="0">
  <x:tableColumns count="19">
    <x:tableColumn id="1" name="creator_handle"/>
    <x:tableColumn id="2" name="owner"/>
    <x:tableColumn id="3" name="contact_status"/>
    <x:tableColumn id="4" name="sent_at"/>
    <x:tableColumn id="5" name="message_version"/>
    <x:tableColumn id="6" name="reply_status"/>
    <x:tableColumn id="7" name="reply_time_hours"/>
    <x:tableColumn id="8" name="reply_attitude"/>
    <x:tableColumn id="9" name="sample_cost"/>
    <x:tableColumn id="10" name="tracking_number"/>
    <x:tableColumn id="11" name="sample_received_at"/>
    <x:tableColumn id="12" name="content_due_at"/>
    <x:tableColumn id="13" name="content_url"/>
    <x:tableColumn id="14" name="asset_quality"/>
    <x:tableColumn id="15" name="views"/>
    <x:tableColumn id="16" name="clicks"/>
    <x:tableColumn id="17" name="orders"/>
    <x:tableColumn id="18" name="gmv"/>
    <x:tableColumn id="19" name="next_actio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ExcludedCreatorsTable" displayName="ExcludedCreatorsTable" ref="A4:D5" headerRowCount="1" totalsRowCount="0" totalsRowShown="0">
  <x:tableColumns count="4">
    <x:tableColumn id="1" name="row_number"/>
    <x:tableColumn id="2" name="creator_handle"/>
    <x:tableColumn id="3" name="creator_url"/>
    <x:tableColumn id="4" name="exclusion_reason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ScoringRulesTable" displayName="ScoringRulesTable" ref="A4:D23" headerRowCount="1" totalsRowCount="0" totalsRowShown="0">
  <x:tableColumns count="4">
    <x:tableColumn id="1" name="维度"/>
    <x:tableColumn id="2" name="字段"/>
    <x:tableColumn id="3" name="上限"/>
    <x:tableColumn id="4" name="判断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fcf1740f5d41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0c80be6ff04b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70f13f64ee48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5a086141094e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8743e1339849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e48c19545e41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6d5a26239240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c0ee60746840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TikTok 达人建联审核工作簿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将脚本生成的 CSV 分别导入对应工作表；所有草稿默认 pending_review / NOT_SENT。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进入评分</x:v>
      </x:c>
      <x:c r="B4" s="10"/>
      <x:c r="C4" s="10" t="str">
        <x:v>A 级</x:v>
      </x:c>
      <x:c r="D4" s="10"/>
      <x:c r="E4" s="10" t="str">
        <x:v>B 级</x:v>
      </x:c>
      <x:c r="F4" s="10"/>
      <x:c r="G4" s="10" t="str">
        <x:v>待深度复核</x:v>
      </x:c>
      <x:c r="H4" s="10"/>
    </x:row>
    <x:row r="5">
      <x:c r="A5" s="12" t="n">
        <x:f>COUNTA('Scoring_Result'!D5:D1004)</x:f>
        <x:v>0</x:v>
      </x:c>
      <x:c r="B5" s="12"/>
      <x:c r="C5" s="12" t="n">
        <x:f>COUNTIF('Scoring_Result'!T5:T1004,"A")</x:f>
        <x:v>0</x:v>
      </x:c>
      <x:c r="D5" s="12"/>
      <x:c r="E5" s="12" t="n">
        <x:f>COUNTIF('Scoring_Result'!T5:T1004,"B")</x:f>
        <x:v>0</x:v>
      </x:c>
      <x:c r="F5" s="12"/>
      <x:c r="G5" s="12" t="n">
        <x:f>COUNTIF('Deep_Review'!I5:I1004,"pending_content_review")</x:f>
        <x:v>0</x:v>
      </x:c>
      <x:c r="H5" s="12"/>
    </x:row>
    <x:row r="6">
      <x:c r="A6" s="15" t="str">
        <x:v>建联草稿</x:v>
      </x:c>
      <x:c r="B6" s="15"/>
      <x:c r="C6" s="15" t="str">
        <x:v>未发送</x:v>
      </x:c>
      <x:c r="D6" s="15"/>
      <x:c r="E6" s="15" t="str">
        <x:v>数据问题</x:v>
      </x:c>
      <x:c r="F6" s="15"/>
      <x:c r="G6" s="15" t="str">
        <x:v>硬筛排除</x:v>
      </x:c>
      <x:c r="H6" s="15"/>
    </x:row>
    <x:row r="7">
      <x:c r="A7" s="18" t="n">
        <x:f>COUNTA('Outreach_Drafts'!A5:A1004)</x:f>
        <x:v>0</x:v>
      </x:c>
      <x:c r="B7" s="18"/>
      <x:c r="C7" s="18" t="n">
        <x:f>COUNTIF('Outreach_Drafts'!O5:O1004,"NOT_SENT")</x:f>
        <x:v>0</x:v>
      </x:c>
      <x:c r="D7" s="18"/>
      <x:c r="E7" s="18" t="n">
        <x:f>COUNTA('Data_Issues'!A5:A1004)</x:f>
        <x:v>0</x:v>
      </x:c>
      <x:c r="F7" s="18"/>
      <x:c r="G7" s="18" t="n">
        <x:f>COUNTA('Excluded_Creators'!A5:A1004)</x:f>
        <x:v>0</x:v>
      </x:c>
      <x:c r="H7" s="18"/>
    </x:row>
    <x:row r="9">
      <x:c r="A9" s="22" t="str">
        <x:v>使用顺序：Scoring_Result → Standard_Review → Deep_Review → 再次运行 → Outreach_Drafts → 人工审批 → Funnel_Tracker</x:v>
      </x:c>
      <x:c r="B9" s="22"/>
      <x:c r="C9" s="22"/>
      <x:c r="D9" s="22"/>
      <x:c r="E9" s="22"/>
      <x:c r="F9" s="22"/>
      <x:c r="G9" s="22"/>
      <x:c r="H9" s="22"/>
    </x:row>
    <x:row r="11">
      <x:c r="A11" s="26" t="str">
        <x:v>重要：Deep_Review 中的队列排序只决定人工复核先后，不是原版最终评分。Hook、产品演示、评论购买意向等必须依据最近 10–20 条真实内容与代表性评论填写。任何消息、寄样、佣金、报价或授权都需人工确认。</x:v>
      </x:c>
      <x:c r="B11" s="26"/>
      <x:c r="C11" s="26"/>
      <x:c r="D11" s="26"/>
      <x:c r="E11" s="26"/>
      <x:c r="F11" s="26"/>
      <x:c r="G11" s="26"/>
      <x:c r="H11" s="26"/>
    </x:row>
    <x:row r="12">
      <x:c r="A12" s="26"/>
      <x:c r="B12" s="26"/>
      <x:c r="C12" s="26"/>
      <x:c r="D12" s="26"/>
      <x:c r="E12" s="26"/>
      <x:c r="F12" s="26"/>
      <x:c r="G12" s="26"/>
      <x:c r="H12" s="26"/>
    </x:row>
    <x:row r="13">
      <x:c r="A13" s="26"/>
      <x:c r="B13" s="26"/>
      <x:c r="C13" s="26"/>
      <x:c r="D13" s="26"/>
      <x:c r="E13" s="26"/>
      <x:c r="F13" s="26"/>
      <x:c r="G13" s="26"/>
      <x:c r="H13" s="26"/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A6:B6"/>
    <x:mergeCell ref="C6:D6"/>
    <x:mergeCell ref="E6:F6"/>
    <x:mergeCell ref="G6:H6"/>
    <x:mergeCell ref="A7:B7"/>
    <x:mergeCell ref="C7:D7"/>
    <x:mergeCell ref="E7:F7"/>
    <x:mergeCell ref="G7:H7"/>
    <x:mergeCell ref="A9:H9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" hidden="0" customWidth="1"/>
    <x:col min="17" max="17" width="12" hidden="0" customWidth="1"/>
    <x:col min="18" max="18" width="16" hidden="0" customWidth="1"/>
    <x:col min="19" max="19" width="16" hidden="0" customWidth="1"/>
    <x:col min="20" max="20" width="16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6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28" hidden="0" customWidth="1"/>
    <x:col min="34" max="34" width="28" hidden="0" customWidth="1"/>
    <x:col min="35" max="35" width="28" hidden="0" customWidth="1"/>
    <x:col min="36" max="36" width="30" hidden="0" customWidth="1"/>
    <x:col min="37" max="37" width="28" hidden="0" customWidth="1"/>
    <x:col min="38" max="38" width="16" hidden="0" customWidth="1"/>
    <x:col min="39" max="39" width="16" hidden="0" customWidth="1"/>
    <x:col min="40" max="40" width="16" hidden="0" customWidth="1"/>
    <x:col min="41" max="41" width="28" hidden="0" customWidth="1"/>
    <x:col min="42" max="42" width="16" hidden="0" customWidth="1"/>
    <x:col min="43" max="43" width="16" hidden="0" customWidth="1"/>
    <x:col min="44" max="44" width="16" hidden="0" customWidth="1"/>
  </x:cols>
  <x:sheetData>
    <x:row r="1" ht="30" customHeight="1">
      <x:c r="A1" s="3" t="str">
        <x:v>评分结果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</x:row>
    <x:row r="2" ht="34" customHeight="1">
      <x:c r="A2" s="7" t="str">
        <x:v>导入 ranked_creators.csv；待补数记录不会被自动当成 0 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</x:row>
    <x:row r="4" ht="42" customHeight="1">
      <x:c r="A4" s="30" t="str">
        <x:v>rank</x:v>
      </x:c>
      <x:c r="B4" s="30" t="str">
        <x:v>row_number</x:v>
      </x:c>
      <x:c r="C4" s="30" t="str">
        <x:v>source_sheet</x:v>
      </x:c>
      <x:c r="D4" s="30" t="str">
        <x:v>creator_handle</x:v>
      </x:c>
      <x:c r="E4" s="30" t="str">
        <x:v>creator_url</x:v>
      </x:c>
      <x:c r="F4" s="30" t="str">
        <x:v>nickname</x:v>
      </x:c>
      <x:c r="G4" s="30" t="str">
        <x:v>country</x:v>
      </x:c>
      <x:c r="H4" s="30" t="str">
        <x:v>language</x:v>
      </x:c>
      <x:c r="I4" s="30" t="str">
        <x:v>followers</x:v>
      </x:c>
      <x:c r="J4" s="30" t="str">
        <x:v>recent_views_median</x:v>
      </x:c>
      <x:c r="K4" s="30" t="str">
        <x:v>engagement_rate_pct</x:v>
      </x:c>
      <x:c r="L4" s="30" t="str">
        <x:v>content_category</x:v>
      </x:c>
      <x:c r="M4" s="30" t="str">
        <x:v>authorized_gmv</x:v>
      </x:c>
      <x:c r="N4" s="30" t="str">
        <x:v>units_sold</x:v>
      </x:c>
      <x:c r="O4" s="30" t="str">
        <x:v>avg_shoppable_video_views</x:v>
      </x:c>
      <x:c r="P4" s="30" t="str">
        <x:v>video_engagement_rate_pct</x:v>
      </x:c>
      <x:c r="Q4" s="30" t="str">
        <x:v>audience_female_pct</x:v>
      </x:c>
      <x:c r="R4" s="30" t="str">
        <x:v>audience_top_age_range</x:v>
      </x:c>
      <x:c r="S4" s="30" t="str">
        <x:v>category_gmv_distribution</x:v>
      </x:c>
      <x:c r="T4" s="30" t="str">
        <x:v>grade</x:v>
      </x:c>
      <x:c r="U4" s="30" t="str">
        <x:v>score_status</x:v>
      </x:c>
      <x:c r="V4" s="30" t="str">
        <x:v>total_score</x:v>
      </x:c>
      <x:c r="W4" s="30" t="str">
        <x:v>positive_score</x:v>
      </x:c>
      <x:c r="X4" s="30" t="str">
        <x:v>known_positive_score</x:v>
      </x:c>
      <x:c r="Y4" s="30" t="str">
        <x:v>possible_score_range</x:v>
      </x:c>
      <x:c r="Z4" s="30" t="str">
        <x:v>evidence_coverage_pct</x:v>
      </x:c>
      <x:c r="AA4" s="30" t="str">
        <x:v>risk_deduction</x:v>
      </x:c>
      <x:c r="AB4" s="30" t="str">
        <x:v>audience_match_score</x:v>
      </x:c>
      <x:c r="AC4" s="30" t="str">
        <x:v>content_ability_score</x:v>
      </x:c>
      <x:c r="AD4" s="30" t="str">
        <x:v>commerce_efficiency_score</x:v>
      </x:c>
      <x:c r="AE4" s="30" t="str">
        <x:v>cooperation_score</x:v>
      </x:c>
      <x:c r="AF4" s="30" t="str">
        <x:v>reviewed_video_count</x:v>
      </x:c>
      <x:c r="AG4" s="30" t="str">
        <x:v>data_facts</x:v>
      </x:c>
      <x:c r="AH4" s="30" t="str">
        <x:v>content_inference</x:v>
      </x:c>
      <x:c r="AI4" s="30" t="str">
        <x:v>manual_verification</x:v>
      </x:c>
      <x:c r="AJ4" s="30" t="str">
        <x:v>evidence_sources</x:v>
      </x:c>
      <x:c r="AK4" s="30" t="str">
        <x:v>missing_data</x:v>
      </x:c>
      <x:c r="AL4" s="30" t="str">
        <x:v>risk_points</x:v>
      </x:c>
      <x:c r="AM4" s="30" t="str">
        <x:v>recommended_strategy</x:v>
      </x:c>
      <x:c r="AN4" s="30" t="str">
        <x:v>recommendation</x:v>
      </x:c>
      <x:c r="AO4" s="30" t="str">
        <x:v>next_action</x:v>
      </x:c>
      <x:c r="AP4" s="30" t="str">
        <x:v>manual_calibration_sample</x:v>
      </x:c>
      <x:c r="AQ4" s="30" t="str">
        <x:v>review_status</x:v>
      </x:c>
      <x:c r="AR4" s="30" t="str">
        <x:v>model_version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8"/>
    </x:row>
  </x:sheetData>
  <x:mergeCells>
    <x:mergeCell ref="A1:AR1"/>
    <x:mergeCell ref="A2:AR2"/>
  </x:mergeCells>
  <x:pageMargins left="0.7" right="0.7" top="0.75" bottom="0.75" header="0.3" footer="0.3"/>
  <x:tableParts count="1">
    <x:tablePart xmlns:r="http://schemas.openxmlformats.org/officeDocument/2006/relationships" r:id="R87fcf1740f5d41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2" hidden="0" customWidth="1"/>
    <x:col min="6" max="6" width="12" hidden="0" customWidth="1"/>
    <x:col min="7" max="7" width="28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16" hidden="0" customWidth="1"/>
    <x:col min="15" max="15" width="12" hidden="0" customWidth="1"/>
    <x:col min="16" max="16" width="16" hidden="0" customWidth="1"/>
    <x:col min="17" max="17" width="16" hidden="0" customWidth="1"/>
    <x:col min="18" max="18" width="16" hidden="0" customWidth="1"/>
    <x:col min="19" max="19" width="12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2" hidden="0" customWidth="1"/>
    <x:col min="27" max="27" width="12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28" hidden="0" customWidth="1"/>
    <x:col min="33" max="33" width="16" hidden="0" customWidth="1"/>
    <x:col min="34" max="34" width="30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2" hidden="0" customWidth="1"/>
    <x:col min="41" max="41" width="16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6" hidden="0" customWidth="1"/>
    <x:col min="61" max="61" width="12" hidden="0" customWidth="1"/>
    <x:col min="62" max="62" width="30" hidden="0" customWidth="1"/>
    <x:col min="63" max="63" width="30" hidden="0" customWidth="1"/>
    <x:col min="64" max="64" width="30" hidden="0" customWidth="1"/>
    <x:col min="65" max="65" width="30" hidden="0" customWidth="1"/>
    <x:col min="66" max="66" width="30" hidden="0" customWidth="1"/>
    <x:col min="67" max="67" width="30" hidden="0" customWidth="1"/>
    <x:col min="68" max="68" width="30" hidden="0" customWidth="1"/>
    <x:col min="69" max="69" width="30" hidden="0" customWidth="1"/>
    <x:col min="70" max="70" width="30" hidden="0" customWidth="1"/>
    <x:col min="71" max="71" width="30" hidden="0" customWidth="1"/>
    <x:col min="72" max="72" width="28" hidden="0" customWidth="1"/>
    <x:col min="73" max="73" width="28" hidden="0" customWidth="1"/>
    <x:col min="74" max="74" width="28" hidden="0" customWidth="1"/>
    <x:col min="75" max="75" width="30" hidden="0" customWidth="1"/>
    <x:col min="76" max="76" width="16" hidden="0" customWidth="1"/>
    <x:col min="77" max="77" width="16" hidden="0" customWidth="1"/>
  </x:cols>
  <x:sheetData>
    <x:row r="1" ht="30" customHeight="1">
      <x:c r="A1" s="3" t="str">
        <x:v>标准复核队列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</x:row>
    <x:row r="2" ht="34" customHeight="1">
      <x:c r="A2" s="7" t="str">
        <x:v>导入 standard_review_queue.csv；默认前 100 位，可按承接能力调整。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</x:row>
    <x:row r="4" ht="42" customHeight="1">
      <x:c r="A4" s="42" t="str">
        <x:v>queue_priority</x:v>
      </x:c>
      <x:c r="B4" s="42" t="str">
        <x:v>selection_stage</x:v>
      </x:c>
      <x:c r="C4" s="42" t="str">
        <x:v>selection_reason</x:v>
      </x:c>
      <x:c r="D4" s="42" t="str">
        <x:v>current_grade</x:v>
      </x:c>
      <x:c r="E4" s="42" t="str">
        <x:v>current_total_score</x:v>
      </x:c>
      <x:c r="F4" s="42" t="str">
        <x:v>evidence_coverage_pct</x:v>
      </x:c>
      <x:c r="G4" s="42" t="str">
        <x:v>missing_data</x:v>
      </x:c>
      <x:c r="H4" s="42" t="str">
        <x:v>recommended_video_review_count</x:v>
      </x:c>
      <x:c r="I4" s="42" t="str">
        <x:v>deep_review_status</x:v>
      </x:c>
      <x:c r="J4" s="42" t="str">
        <x:v>source_row_number</x:v>
      </x:c>
      <x:c r="K4" s="42" t="str">
        <x:v>source_sheet</x:v>
      </x:c>
      <x:c r="L4" s="42" t="str">
        <x:v>creator_handle</x:v>
      </x:c>
      <x:c r="M4" s="42" t="str">
        <x:v>creator_url</x:v>
      </x:c>
      <x:c r="N4" s="42" t="str">
        <x:v>nickname</x:v>
      </x:c>
      <x:c r="O4" s="42" t="str">
        <x:v>country</x:v>
      </x:c>
      <x:c r="P4" s="42" t="str">
        <x:v>language</x:v>
      </x:c>
      <x:c r="Q4" s="42" t="str">
        <x:v>followers</x:v>
      </x:c>
      <x:c r="R4" s="42" t="str">
        <x:v>recent_views</x:v>
      </x:c>
      <x:c r="S4" s="42" t="str">
        <x:v>engagement_rate_pct</x:v>
      </x:c>
      <x:c r="T4" s="42" t="str">
        <x:v>content_category</x:v>
      </x:c>
      <x:c r="U4" s="42" t="str">
        <x:v>audience_profile</x:v>
      </x:c>
      <x:c r="V4" s="42" t="str">
        <x:v>commerce_metrics</x:v>
      </x:c>
      <x:c r="W4" s="42" t="str">
        <x:v>authorized_gmv</x:v>
      </x:c>
      <x:c r="X4" s="42" t="str">
        <x:v>units_sold</x:v>
      </x:c>
      <x:c r="Y4" s="42" t="str">
        <x:v>avg_shoppable_video_views</x:v>
      </x:c>
      <x:c r="Z4" s="42" t="str">
        <x:v>video_engagement_rate_pct</x:v>
      </x:c>
      <x:c r="AA4" s="42" t="str">
        <x:v>audience_female_pct</x:v>
      </x:c>
      <x:c r="AB4" s="42" t="str">
        <x:v>audience_top_age_range</x:v>
      </x:c>
      <x:c r="AC4" s="42" t="str">
        <x:v>category_gmv_distribution</x:v>
      </x:c>
      <x:c r="AD4" s="42" t="str">
        <x:v>contact_channel</x:v>
      </x:c>
      <x:c r="AE4" s="42" t="str">
        <x:v>sample_contact_status</x:v>
      </x:c>
      <x:c r="AF4" s="42" t="str">
        <x:v>notes</x:v>
      </x:c>
      <x:c r="AG4" s="42" t="str">
        <x:v>creator_type</x:v>
      </x:c>
      <x:c r="AH4" s="42" t="str">
        <x:v>recent_content_observation</x:v>
      </x:c>
      <x:c r="AI4" s="42" t="str">
        <x:v>personalization_verified</x:v>
      </x:c>
      <x:c r="AJ4" s="42" t="str">
        <x:v>content_category_relevance</x:v>
      </x:c>
      <x:c r="AK4" s="42" t="str">
        <x:v>days_since_last_post</x:v>
      </x:c>
      <x:c r="AL4" s="42" t="str">
        <x:v>risk_level</x:v>
      </x:c>
      <x:c r="AM4" s="42" t="str">
        <x:v>do_not_contact</x:v>
      </x:c>
      <x:c r="AN4" s="42" t="str">
        <x:v>commission_pct</x:v>
      </x:c>
      <x:c r="AO4" s="42" t="str">
        <x:v>estimated_cash_fee</x:v>
      </x:c>
      <x:c r="AP4" s="42" t="str">
        <x:v>audience_country_language_score</x:v>
      </x:c>
      <x:c r="AQ4" s="42" t="str">
        <x:v>audience_core_profile_score</x:v>
      </x:c>
      <x:c r="AR4" s="42" t="str">
        <x:v>audience_interest_category_score</x:v>
      </x:c>
      <x:c r="AS4" s="42" t="str">
        <x:v>audience_use_case_score</x:v>
      </x:c>
      <x:c r="AT4" s="42" t="str">
        <x:v>content_hook_score</x:v>
      </x:c>
      <x:c r="AU4" s="42" t="str">
        <x:v>content_demo_score</x:v>
      </x:c>
      <x:c r="AV4" s="42" t="str">
        <x:v>content_expression_score</x:v>
      </x:c>
      <x:c r="AW4" s="42" t="str">
        <x:v>content_production_score</x:v>
      </x:c>
      <x:c r="AX4" s="42" t="str">
        <x:v>content_stability_score</x:v>
      </x:c>
      <x:c r="AY4" s="42" t="str">
        <x:v>commerce_view_fit_score</x:v>
      </x:c>
      <x:c r="AZ4" s="42" t="str">
        <x:v>commerce_purchase_intent_score</x:v>
      </x:c>
      <x:c r="BA4" s="42" t="str">
        <x:v>commerce_content_ratio_score</x:v>
      </x:c>
      <x:c r="BB4" s="42" t="str">
        <x:v>commerce_explanation_cta_score</x:v>
      </x:c>
      <x:c r="BC4" s="42" t="str">
        <x:v>commerce_data_score</x:v>
      </x:c>
      <x:c r="BD4" s="42" t="str">
        <x:v>cooperation_contact_score</x:v>
      </x:c>
      <x:c r="BE4" s="42" t="str">
        <x:v>cooperation_budget_score</x:v>
      </x:c>
      <x:c r="BF4" s="42" t="str">
        <x:v>cooperation_history_score</x:v>
      </x:c>
      <x:c r="BG4" s="42" t="str">
        <x:v>cooperation_schedule_logistics_score</x:v>
      </x:c>
      <x:c r="BH4" s="42" t="str">
        <x:v>risk_deduction</x:v>
      </x:c>
      <x:c r="BI4" s="42" t="str">
        <x:v>reviewed_video_count</x:v>
      </x:c>
      <x:c r="BJ4" s="42" t="str">
        <x:v>reviewed_video_urls</x:v>
      </x:c>
      <x:c r="BK4" s="42" t="str">
        <x:v>hook_evidence</x:v>
      </x:c>
      <x:c r="BL4" s="42" t="str">
        <x:v>demo_evidence</x:v>
      </x:c>
      <x:c r="BM4" s="42" t="str">
        <x:v>expression_evidence</x:v>
      </x:c>
      <x:c r="BN4" s="42" t="str">
        <x:v>production_evidence</x:v>
      </x:c>
      <x:c r="BO4" s="42" t="str">
        <x:v>stability_evidence</x:v>
      </x:c>
      <x:c r="BP4" s="42" t="str">
        <x:v>purchase_intent_comment_evidence</x:v>
      </x:c>
      <x:c r="BQ4" s="42" t="str">
        <x:v>commerce_content_ratio_evidence</x:v>
      </x:c>
      <x:c r="BR4" s="42" t="str">
        <x:v>commerce_explanation_cta_evidence</x:v>
      </x:c>
      <x:c r="BS4" s="42" t="str">
        <x:v>risk_review_evidence</x:v>
      </x:c>
      <x:c r="BT4" s="42" t="str">
        <x:v>data_facts</x:v>
      </x:c>
      <x:c r="BU4" s="42" t="str">
        <x:v>content_inference</x:v>
      </x:c>
      <x:c r="BV4" s="42" t="str">
        <x:v>manual_verification</x:v>
      </x:c>
      <x:c r="BW4" s="42" t="str">
        <x:v>evidence_sources</x:v>
      </x:c>
      <x:c r="BX4" s="42" t="str">
        <x:v>risk_points</x:v>
      </x:c>
      <x:c r="BY4" s="42" t="str">
        <x:v>recommended_strategy_override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7"/>
      <x:c r="AS5" s="37"/>
      <x:c r="AT5" s="37"/>
      <x:c r="AU5" s="37"/>
      <x:c r="AV5" s="37"/>
      <x:c r="AW5" s="37"/>
      <x:c r="AX5" s="37"/>
      <x:c r="AY5" s="37"/>
      <x:c r="AZ5" s="37"/>
      <x:c r="BA5" s="37"/>
      <x:c r="BB5" s="37"/>
      <x:c r="BC5" s="37"/>
      <x:c r="BD5" s="37"/>
      <x:c r="BE5" s="37"/>
      <x:c r="BF5" s="37"/>
      <x:c r="BG5" s="37"/>
      <x:c r="BH5" s="37"/>
      <x:c r="BI5" s="37"/>
      <x:c r="BJ5" s="37"/>
      <x:c r="BK5" s="37"/>
      <x:c r="BL5" s="37"/>
      <x:c r="BM5" s="37"/>
      <x:c r="BN5" s="37"/>
      <x:c r="BO5" s="37"/>
      <x:c r="BP5" s="37"/>
      <x:c r="BQ5" s="37"/>
      <x:c r="BR5" s="37"/>
      <x:c r="BS5" s="37"/>
      <x:c r="BT5" s="37"/>
      <x:c r="BU5" s="37"/>
      <x:c r="BV5" s="37"/>
      <x:c r="BW5" s="37"/>
      <x:c r="BX5" s="37"/>
      <x:c r="BY5" s="38"/>
    </x:row>
  </x:sheetData>
  <x:mergeCells>
    <x:mergeCell ref="A1:BY1"/>
    <x:mergeCell ref="A2:BY2"/>
  </x:mergeCells>
  <x:pageMargins left="0.7" right="0.7" top="0.75" bottom="0.75" header="0.3" footer="0.3"/>
  <x:tableParts count="1">
    <x:tablePart xmlns:r="http://schemas.openxmlformats.org/officeDocument/2006/relationships" r:id="R9f0c80be6ff04b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2" hidden="0" customWidth="1"/>
    <x:col min="6" max="6" width="12" hidden="0" customWidth="1"/>
    <x:col min="7" max="7" width="28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16" hidden="0" customWidth="1"/>
    <x:col min="15" max="15" width="12" hidden="0" customWidth="1"/>
    <x:col min="16" max="16" width="16" hidden="0" customWidth="1"/>
    <x:col min="17" max="17" width="16" hidden="0" customWidth="1"/>
    <x:col min="18" max="18" width="16" hidden="0" customWidth="1"/>
    <x:col min="19" max="19" width="12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2" hidden="0" customWidth="1"/>
    <x:col min="27" max="27" width="12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28" hidden="0" customWidth="1"/>
    <x:col min="33" max="33" width="16" hidden="0" customWidth="1"/>
    <x:col min="34" max="34" width="30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2" hidden="0" customWidth="1"/>
    <x:col min="41" max="41" width="16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6" hidden="0" customWidth="1"/>
    <x:col min="61" max="61" width="12" hidden="0" customWidth="1"/>
    <x:col min="62" max="62" width="30" hidden="0" customWidth="1"/>
    <x:col min="63" max="63" width="30" hidden="0" customWidth="1"/>
    <x:col min="64" max="64" width="30" hidden="0" customWidth="1"/>
    <x:col min="65" max="65" width="30" hidden="0" customWidth="1"/>
    <x:col min="66" max="66" width="30" hidden="0" customWidth="1"/>
    <x:col min="67" max="67" width="30" hidden="0" customWidth="1"/>
    <x:col min="68" max="68" width="30" hidden="0" customWidth="1"/>
    <x:col min="69" max="69" width="30" hidden="0" customWidth="1"/>
    <x:col min="70" max="70" width="30" hidden="0" customWidth="1"/>
    <x:col min="71" max="71" width="30" hidden="0" customWidth="1"/>
    <x:col min="72" max="72" width="28" hidden="0" customWidth="1"/>
    <x:col min="73" max="73" width="28" hidden="0" customWidth="1"/>
    <x:col min="74" max="74" width="28" hidden="0" customWidth="1"/>
    <x:col min="75" max="75" width="30" hidden="0" customWidth="1"/>
    <x:col min="76" max="76" width="16" hidden="0" customWidth="1"/>
    <x:col min="77" max="77" width="16" hidden="0" customWidth="1"/>
  </x:cols>
  <x:sheetData>
    <x:row r="1" ht="30" customHeight="1">
      <x:c r="A1" s="3" t="str">
        <x:v>深度复核队列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</x:row>
    <x:row r="2" ht="34" customHeight="1">
      <x:c r="A2" s="7" t="str">
        <x:v>导入 deep_review_queue.csv；只对前 30–50 位检查最近 10–20 条视频与评论购买意向。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</x:row>
    <x:row r="4" ht="42" customHeight="1">
      <x:c r="A4" s="47" t="str">
        <x:v>queue_priority</x:v>
      </x:c>
      <x:c r="B4" s="47" t="str">
        <x:v>selection_stage</x:v>
      </x:c>
      <x:c r="C4" s="47" t="str">
        <x:v>selection_reason</x:v>
      </x:c>
      <x:c r="D4" s="47" t="str">
        <x:v>current_grade</x:v>
      </x:c>
      <x:c r="E4" s="47" t="str">
        <x:v>current_total_score</x:v>
      </x:c>
      <x:c r="F4" s="47" t="str">
        <x:v>evidence_coverage_pct</x:v>
      </x:c>
      <x:c r="G4" s="47" t="str">
        <x:v>missing_data</x:v>
      </x:c>
      <x:c r="H4" s="47" t="str">
        <x:v>recommended_video_review_count</x:v>
      </x:c>
      <x:c r="I4" s="47" t="str">
        <x:v>deep_review_status</x:v>
      </x:c>
      <x:c r="J4" s="47" t="str">
        <x:v>source_row_number</x:v>
      </x:c>
      <x:c r="K4" s="47" t="str">
        <x:v>source_sheet</x:v>
      </x:c>
      <x:c r="L4" s="47" t="str">
        <x:v>creator_handle</x:v>
      </x:c>
      <x:c r="M4" s="47" t="str">
        <x:v>creator_url</x:v>
      </x:c>
      <x:c r="N4" s="47" t="str">
        <x:v>nickname</x:v>
      </x:c>
      <x:c r="O4" s="47" t="str">
        <x:v>country</x:v>
      </x:c>
      <x:c r="P4" s="47" t="str">
        <x:v>language</x:v>
      </x:c>
      <x:c r="Q4" s="47" t="str">
        <x:v>followers</x:v>
      </x:c>
      <x:c r="R4" s="47" t="str">
        <x:v>recent_views</x:v>
      </x:c>
      <x:c r="S4" s="47" t="str">
        <x:v>engagement_rate_pct</x:v>
      </x:c>
      <x:c r="T4" s="47" t="str">
        <x:v>content_category</x:v>
      </x:c>
      <x:c r="U4" s="47" t="str">
        <x:v>audience_profile</x:v>
      </x:c>
      <x:c r="V4" s="47" t="str">
        <x:v>commerce_metrics</x:v>
      </x:c>
      <x:c r="W4" s="47" t="str">
        <x:v>authorized_gmv</x:v>
      </x:c>
      <x:c r="X4" s="47" t="str">
        <x:v>units_sold</x:v>
      </x:c>
      <x:c r="Y4" s="47" t="str">
        <x:v>avg_shoppable_video_views</x:v>
      </x:c>
      <x:c r="Z4" s="47" t="str">
        <x:v>video_engagement_rate_pct</x:v>
      </x:c>
      <x:c r="AA4" s="47" t="str">
        <x:v>audience_female_pct</x:v>
      </x:c>
      <x:c r="AB4" s="47" t="str">
        <x:v>audience_top_age_range</x:v>
      </x:c>
      <x:c r="AC4" s="47" t="str">
        <x:v>category_gmv_distribution</x:v>
      </x:c>
      <x:c r="AD4" s="47" t="str">
        <x:v>contact_channel</x:v>
      </x:c>
      <x:c r="AE4" s="47" t="str">
        <x:v>sample_contact_status</x:v>
      </x:c>
      <x:c r="AF4" s="47" t="str">
        <x:v>notes</x:v>
      </x:c>
      <x:c r="AG4" s="47" t="str">
        <x:v>creator_type</x:v>
      </x:c>
      <x:c r="AH4" s="47" t="str">
        <x:v>recent_content_observation</x:v>
      </x:c>
      <x:c r="AI4" s="47" t="str">
        <x:v>personalization_verified</x:v>
      </x:c>
      <x:c r="AJ4" s="47" t="str">
        <x:v>content_category_relevance</x:v>
      </x:c>
      <x:c r="AK4" s="47" t="str">
        <x:v>days_since_last_post</x:v>
      </x:c>
      <x:c r="AL4" s="47" t="str">
        <x:v>risk_level</x:v>
      </x:c>
      <x:c r="AM4" s="47" t="str">
        <x:v>do_not_contact</x:v>
      </x:c>
      <x:c r="AN4" s="47" t="str">
        <x:v>commission_pct</x:v>
      </x:c>
      <x:c r="AO4" s="47" t="str">
        <x:v>estimated_cash_fee</x:v>
      </x:c>
      <x:c r="AP4" s="47" t="str">
        <x:v>audience_country_language_score</x:v>
      </x:c>
      <x:c r="AQ4" s="47" t="str">
        <x:v>audience_core_profile_score</x:v>
      </x:c>
      <x:c r="AR4" s="47" t="str">
        <x:v>audience_interest_category_score</x:v>
      </x:c>
      <x:c r="AS4" s="47" t="str">
        <x:v>audience_use_case_score</x:v>
      </x:c>
      <x:c r="AT4" s="47" t="str">
        <x:v>content_hook_score</x:v>
      </x:c>
      <x:c r="AU4" s="47" t="str">
        <x:v>content_demo_score</x:v>
      </x:c>
      <x:c r="AV4" s="47" t="str">
        <x:v>content_expression_score</x:v>
      </x:c>
      <x:c r="AW4" s="47" t="str">
        <x:v>content_production_score</x:v>
      </x:c>
      <x:c r="AX4" s="47" t="str">
        <x:v>content_stability_score</x:v>
      </x:c>
      <x:c r="AY4" s="47" t="str">
        <x:v>commerce_view_fit_score</x:v>
      </x:c>
      <x:c r="AZ4" s="47" t="str">
        <x:v>commerce_purchase_intent_score</x:v>
      </x:c>
      <x:c r="BA4" s="47" t="str">
        <x:v>commerce_content_ratio_score</x:v>
      </x:c>
      <x:c r="BB4" s="47" t="str">
        <x:v>commerce_explanation_cta_score</x:v>
      </x:c>
      <x:c r="BC4" s="47" t="str">
        <x:v>commerce_data_score</x:v>
      </x:c>
      <x:c r="BD4" s="47" t="str">
        <x:v>cooperation_contact_score</x:v>
      </x:c>
      <x:c r="BE4" s="47" t="str">
        <x:v>cooperation_budget_score</x:v>
      </x:c>
      <x:c r="BF4" s="47" t="str">
        <x:v>cooperation_history_score</x:v>
      </x:c>
      <x:c r="BG4" s="47" t="str">
        <x:v>cooperation_schedule_logistics_score</x:v>
      </x:c>
      <x:c r="BH4" s="47" t="str">
        <x:v>risk_deduction</x:v>
      </x:c>
      <x:c r="BI4" s="47" t="str">
        <x:v>reviewed_video_count</x:v>
      </x:c>
      <x:c r="BJ4" s="47" t="str">
        <x:v>reviewed_video_urls</x:v>
      </x:c>
      <x:c r="BK4" s="47" t="str">
        <x:v>hook_evidence</x:v>
      </x:c>
      <x:c r="BL4" s="47" t="str">
        <x:v>demo_evidence</x:v>
      </x:c>
      <x:c r="BM4" s="47" t="str">
        <x:v>expression_evidence</x:v>
      </x:c>
      <x:c r="BN4" s="47" t="str">
        <x:v>production_evidence</x:v>
      </x:c>
      <x:c r="BO4" s="47" t="str">
        <x:v>stability_evidence</x:v>
      </x:c>
      <x:c r="BP4" s="47" t="str">
        <x:v>purchase_intent_comment_evidence</x:v>
      </x:c>
      <x:c r="BQ4" s="47" t="str">
        <x:v>commerce_content_ratio_evidence</x:v>
      </x:c>
      <x:c r="BR4" s="47" t="str">
        <x:v>commerce_explanation_cta_evidence</x:v>
      </x:c>
      <x:c r="BS4" s="47" t="str">
        <x:v>risk_review_evidence</x:v>
      </x:c>
      <x:c r="BT4" s="47" t="str">
        <x:v>data_facts</x:v>
      </x:c>
      <x:c r="BU4" s="47" t="str">
        <x:v>content_inference</x:v>
      </x:c>
      <x:c r="BV4" s="47" t="str">
        <x:v>manual_verification</x:v>
      </x:c>
      <x:c r="BW4" s="47" t="str">
        <x:v>evidence_sources</x:v>
      </x:c>
      <x:c r="BX4" s="47" t="str">
        <x:v>risk_points</x:v>
      </x:c>
      <x:c r="BY4" s="47" t="str">
        <x:v>recommended_strategy_override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7"/>
      <x:c r="AS5" s="37"/>
      <x:c r="AT5" s="37"/>
      <x:c r="AU5" s="37"/>
      <x:c r="AV5" s="37"/>
      <x:c r="AW5" s="37"/>
      <x:c r="AX5" s="37"/>
      <x:c r="AY5" s="37"/>
      <x:c r="AZ5" s="37"/>
      <x:c r="BA5" s="37"/>
      <x:c r="BB5" s="37"/>
      <x:c r="BC5" s="37"/>
      <x:c r="BD5" s="37"/>
      <x:c r="BE5" s="37"/>
      <x:c r="BF5" s="37"/>
      <x:c r="BG5" s="37"/>
      <x:c r="BH5" s="37"/>
      <x:c r="BI5" s="37"/>
      <x:c r="BJ5" s="37"/>
      <x:c r="BK5" s="37"/>
      <x:c r="BL5" s="37"/>
      <x:c r="BM5" s="37"/>
      <x:c r="BN5" s="37"/>
      <x:c r="BO5" s="37"/>
      <x:c r="BP5" s="37"/>
      <x:c r="BQ5" s="37"/>
      <x:c r="BR5" s="37"/>
      <x:c r="BS5" s="37"/>
      <x:c r="BT5" s="37"/>
      <x:c r="BU5" s="37"/>
      <x:c r="BV5" s="37"/>
      <x:c r="BW5" s="37"/>
      <x:c r="BX5" s="37"/>
      <x:c r="BY5" s="38"/>
    </x:row>
  </x:sheetData>
  <x:mergeCells>
    <x:mergeCell ref="A1:BY1"/>
    <x:mergeCell ref="A2:BY2"/>
  </x:mergeCells>
  <x:pageMargins left="0.7" right="0.7" top="0.75" bottom="0.75" header="0.3" footer="0.3"/>
  <x:tableParts count="1">
    <x:tablePart xmlns:r="http://schemas.openxmlformats.org/officeDocument/2006/relationships" r:id="R2d70f13f64ee48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0" hidden="0" customWidth="1"/>
  </x:cols>
  <x:sheetData>
    <x:row r="1" ht="30" customHeight="1">
      <x:c r="A1" s="3" t="str">
        <x:v>待审核建联草稿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导入 outreach_drafts.csv；此表不发送消息，send_status 必须保持 NOT_SENT 直到人工批准。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42" customHeight="1">
      <x:c r="A4" s="42" t="str">
        <x:v>creator_handle</x:v>
      </x:c>
      <x:c r="B4" s="42" t="str">
        <x:v>nickname</x:v>
      </x:c>
      <x:c r="C4" s="42" t="str">
        <x:v>grade</x:v>
      </x:c>
      <x:c r="D4" s="42" t="str">
        <x:v>total_score</x:v>
      </x:c>
      <x:c r="E4" s="42" t="str">
        <x:v>recommended_strategy</x:v>
      </x:c>
      <x:c r="F4" s="42" t="str">
        <x:v>strategy_reason</x:v>
      </x:c>
      <x:c r="G4" s="42" t="str">
        <x:v>tiktok_dm</x:v>
      </x:c>
      <x:c r="H4" s="42" t="str">
        <x:v>email_subject</x:v>
      </x:c>
      <x:c r="I4" s="42" t="str">
        <x:v>email_body</x:v>
      </x:c>
      <x:c r="J4" s="42" t="str">
        <x:v>follow_up_48_72h</x:v>
      </x:c>
      <x:c r="K4" s="42" t="str">
        <x:v>sample_communication</x:v>
      </x:c>
      <x:c r="L4" s="42" t="str">
        <x:v>draft_readiness</x:v>
      </x:c>
      <x:c r="M4" s="42" t="str">
        <x:v>personalization_needs_verification</x:v>
      </x:c>
      <x:c r="N4" s="42" t="str">
        <x:v>review_status</x:v>
      </x:c>
      <x:c r="O4" s="42" t="str">
        <x:v>send_status</x:v>
      </x:c>
      <x:c r="P4" s="42" t="str">
        <x:v>contact_status</x:v>
      </x:c>
      <x:c r="Q4" s="42" t="str">
        <x:v>message_version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8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6f5a086141094e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</x:cols>
  <x:sheetData>
    <x:row r="1" ht="30" customHeight="1">
      <x:c r="A1" s="3" t="str">
        <x:v>数据问题</x:v>
      </x:c>
      <x:c r="B1" s="3"/>
      <x:c r="C1" s="3"/>
      <x:c r="D1" s="3"/>
      <x:c r="E1" s="3"/>
      <x:c r="F1" s="3"/>
      <x:c r="G1" s="3"/>
    </x:row>
    <x:row r="2" ht="34" customHeight="1">
      <x:c r="A2" s="7" t="str">
        <x:v>导入 data_issues.csv；优先处理 error，再处理影响前 30–50 位的 warning。</x:v>
      </x:c>
      <x:c r="B2" s="7"/>
      <x:c r="C2" s="7"/>
      <x:c r="D2" s="7"/>
      <x:c r="E2" s="7"/>
      <x:c r="F2" s="7"/>
      <x:c r="G2" s="7"/>
    </x:row>
    <x:row r="4" ht="42" customHeight="1">
      <x:c r="A4" s="47" t="str">
        <x:v>row_number</x:v>
      </x:c>
      <x:c r="B4" s="47" t="str">
        <x:v>creator_handle</x:v>
      </x:c>
      <x:c r="C4" s="47" t="str">
        <x:v>severity</x:v>
      </x:c>
      <x:c r="D4" s="47" t="str">
        <x:v>field</x:v>
      </x:c>
      <x:c r="E4" s="47" t="str">
        <x:v>issue_type</x:v>
      </x:c>
      <x:c r="F4" s="47" t="str">
        <x:v>message</x:v>
      </x:c>
      <x:c r="G4" s="47" t="str">
        <x:v>manual_action</x:v>
      </x:c>
    </x:row>
    <x:row r="5">
      <x:c r="A5" s="36"/>
      <x:c r="B5" s="37"/>
      <x:c r="C5" s="37"/>
      <x:c r="D5" s="37"/>
      <x:c r="E5" s="37"/>
      <x:c r="F5" s="37"/>
      <x:c r="G5" s="3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c8743e1339849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8" hidden="0" customWidth="1"/>
  </x:cols>
  <x:sheetData>
    <x:row r="1" ht="30" customHeight="1">
      <x:c r="A1" s="3" t="str">
        <x:v>建联漏斗追踪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实际发送、回复、寄样、出片、订单和 GMV 由团队人工回填。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42" customHeight="1">
      <x:c r="A4" s="42" t="str">
        <x:v>creator_handle</x:v>
      </x:c>
      <x:c r="B4" s="42" t="str">
        <x:v>owner</x:v>
      </x:c>
      <x:c r="C4" s="42" t="str">
        <x:v>contact_status</x:v>
      </x:c>
      <x:c r="D4" s="42" t="str">
        <x:v>sent_at</x:v>
      </x:c>
      <x:c r="E4" s="42" t="str">
        <x:v>message_version</x:v>
      </x:c>
      <x:c r="F4" s="42" t="str">
        <x:v>reply_status</x:v>
      </x:c>
      <x:c r="G4" s="42" t="str">
        <x:v>reply_time_hours</x:v>
      </x:c>
      <x:c r="H4" s="42" t="str">
        <x:v>reply_attitude</x:v>
      </x:c>
      <x:c r="I4" s="42" t="str">
        <x:v>sample_cost</x:v>
      </x:c>
      <x:c r="J4" s="42" t="str">
        <x:v>tracking_number</x:v>
      </x:c>
      <x:c r="K4" s="42" t="str">
        <x:v>sample_received_at</x:v>
      </x:c>
      <x:c r="L4" s="42" t="str">
        <x:v>content_due_at</x:v>
      </x:c>
      <x:c r="M4" s="42" t="str">
        <x:v>content_url</x:v>
      </x:c>
      <x:c r="N4" s="42" t="str">
        <x:v>asset_quality</x:v>
      </x:c>
      <x:c r="O4" s="42" t="str">
        <x:v>views</x:v>
      </x:c>
      <x:c r="P4" s="42" t="str">
        <x:v>clicks</x:v>
      </x:c>
      <x:c r="Q4" s="42" t="str">
        <x:v>orders</x:v>
      </x:c>
      <x:c r="R4" s="42" t="str">
        <x:v>gmv</x:v>
      </x:c>
      <x:c r="S4" s="42" t="str">
        <x:v>next_action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8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9be48c19545e41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</x:cols>
  <x:sheetData>
    <x:row r="1" ht="30" customHeight="1">
      <x:c r="A1" s="3" t="str">
        <x:v>硬筛排除</x:v>
      </x:c>
      <x:c r="B1" s="3"/>
      <x:c r="C1" s="3"/>
      <x:c r="D1" s="3"/>
    </x:row>
    <x:row r="2" ht="34" customHeight="1">
      <x:c r="A2" s="7" t="str">
        <x:v>导入 excluded_creators.csv；保留排除原因，不覆盖原始导出。</x:v>
      </x:c>
      <x:c r="B2" s="7"/>
      <x:c r="C2" s="7"/>
      <x:c r="D2" s="7"/>
    </x:row>
    <x:row r="4" ht="42" customHeight="1">
      <x:c r="A4" s="52" t="str">
        <x:v>row_number</x:v>
      </x:c>
      <x:c r="B4" s="52" t="str">
        <x:v>creator_handle</x:v>
      </x:c>
      <x:c r="C4" s="52" t="str">
        <x:v>creator_url</x:v>
      </x:c>
      <x:c r="D4" s="52" t="str">
        <x:v>exclusion_reasons</x:v>
      </x:c>
    </x:row>
    <x:row r="5">
      <x:c r="A5" s="36"/>
      <x:c r="B5" s="37"/>
      <x:c r="C5" s="37"/>
      <x:c r="D5" s="38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d6d5a26239240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0" hidden="0" customWidth="1"/>
    <x:col min="4" max="4" width="60" hidden="0" customWidth="1"/>
  </x:cols>
  <x:sheetData>
    <x:row r="1" ht="30" customHeight="1">
      <x:c r="A1" s="3" t="str">
        <x:v>原版四维评分规则</x:v>
      </x:c>
      <x:c r="B1" s="3"/>
      <x:c r="C1" s="3"/>
      <x:c r="D1" s="3"/>
    </x:row>
    <x:row r="2" ht="34" customHeight="1">
      <x:c r="A2" s="7" t="str">
        <x:v>未知值必须保持 unknown；只有 18 个正向分项与风险扣分全部有证据时，才输出最终 A/B/C/D。</x:v>
      </x:c>
      <x:c r="B2" s="7"/>
      <x:c r="C2" s="7"/>
      <x:c r="D2" s="7"/>
    </x:row>
    <x:row r="4">
      <x:c r="A4" s="58" t="str">
        <x:v>维度</x:v>
      </x:c>
      <x:c r="B4" s="58" t="str">
        <x:v>字段</x:v>
      </x:c>
      <x:c r="C4" s="58" t="str">
        <x:v>上限</x:v>
      </x:c>
      <x:c r="D4" s="58" t="str">
        <x:v>判断依据</x:v>
      </x:c>
    </x:row>
    <x:row r="5">
      <x:c r="A5" s="59" t="str">
        <x:v>人群匹配</x:v>
      </x:c>
      <x:c r="B5" s="59" t="str">
        <x:v>audience_country_language_score</x:v>
      </x:c>
      <x:c r="C5" s="60" t="n">
        <x:v>8</x:v>
      </x:c>
      <x:c r="D5" s="59" t="str">
        <x:v>目标国家与主要内容语言匹配</x:v>
      </x:c>
    </x:row>
    <x:row r="6">
      <x:c r="A6" s="59" t="str">
        <x:v>人群匹配</x:v>
      </x:c>
      <x:c r="B6" s="59" t="str">
        <x:v>audience_core_profile_score</x:v>
      </x:c>
      <x:c r="C6" s="60" t="n">
        <x:v>8</x:v>
      </x:c>
      <x:c r="D6" s="59" t="str">
        <x:v>年龄、性别、生活阶段匹配；无后台数据时保持 unknown</x:v>
      </x:c>
    </x:row>
    <x:row r="7">
      <x:c r="A7" s="59" t="str">
        <x:v>人群匹配</x:v>
      </x:c>
      <x:c r="B7" s="59" t="str">
        <x:v>audience_interest_category_score</x:v>
      </x:c>
      <x:c r="C7" s="60" t="n">
        <x:v>8</x:v>
      </x:c>
      <x:c r="D7" s="59" t="str">
        <x:v>近期内容兴趣与产品赛道匹配</x:v>
      </x:c>
    </x:row>
    <x:row r="8">
      <x:c r="A8" s="59" t="str">
        <x:v>人群匹配</x:v>
      </x:c>
      <x:c r="B8" s="59" t="str">
        <x:v>audience_use_case_score</x:v>
      </x:c>
      <x:c r="C8" s="60" t="n">
        <x:v>6</x:v>
      </x:c>
      <x:c r="D8" s="59" t="str">
        <x:v>真实内容场景与产品使用场景匹配</x:v>
      </x:c>
    </x:row>
    <x:row r="9">
      <x:c r="A9" s="59" t="str">
        <x:v>内容能力</x:v>
      </x:c>
      <x:c r="B9" s="59" t="str">
        <x:v>content_hook_score</x:v>
      </x:c>
      <x:c r="C9" s="60" t="n">
        <x:v>5</x:v>
      </x:c>
      <x:c r="D9" s="59" t="str">
        <x:v>最近 10–20 条的前 3 秒观看理由</x:v>
      </x:c>
    </x:row>
    <x:row r="10">
      <x:c r="A10" s="59" t="str">
        <x:v>内容能力</x:v>
      </x:c>
      <x:c r="B10" s="59" t="str">
        <x:v>content_demo_score</x:v>
      </x:c>
      <x:c r="C10" s="60" t="n">
        <x:v>5</x:v>
      </x:c>
      <x:c r="D10" s="59" t="str">
        <x:v>清楚展示产品、步骤和结果</x:v>
      </x:c>
    </x:row>
    <x:row r="11">
      <x:c r="A11" s="59" t="str">
        <x:v>内容能力</x:v>
      </x:c>
      <x:c r="B11" s="59" t="str">
        <x:v>content_expression_score</x:v>
      </x:c>
      <x:c r="C11" s="60" t="n">
        <x:v>5</x:v>
      </x:c>
      <x:c r="D11" s="59" t="str">
        <x:v>表达自然、可信、有个人特色</x:v>
      </x:c>
    </x:row>
    <x:row r="12">
      <x:c r="A12" s="59" t="str">
        <x:v>内容能力</x:v>
      </x:c>
      <x:c r="B12" s="59" t="str">
        <x:v>content_production_score</x:v>
      </x:c>
      <x:c r="C12" s="60" t="n">
        <x:v>5</x:v>
      </x:c>
      <x:c r="D12" s="59" t="str">
        <x:v>画面、收音、剪辑达到最低质量</x:v>
      </x:c>
    </x:row>
    <x:row r="13">
      <x:c r="A13" s="59" t="str">
        <x:v>内容能力</x:v>
      </x:c>
      <x:c r="B13" s="59" t="str">
        <x:v>content_stability_score</x:v>
      </x:c>
      <x:c r="C13" s="60" t="n">
        <x:v>5</x:v>
      </x:c>
      <x:c r="D13" s="59" t="str">
        <x:v>最近 10–20 条稳定，不依赖单条爆款</x:v>
      </x:c>
    </x:row>
    <x:row r="14">
      <x:c r="A14" s="59" t="str">
        <x:v>带货效率</x:v>
      </x:c>
      <x:c r="B14" s="59" t="str">
        <x:v>commerce_view_fit_score</x:v>
      </x:c>
      <x:c r="C14" s="60" t="n">
        <x:v>6</x:v>
      </x:c>
      <x:c r="D14" s="59" t="str">
        <x:v>近期播放中位数与粉丝规模合理</x:v>
      </x:c>
    </x:row>
    <x:row r="15">
      <x:c r="A15" s="59" t="str">
        <x:v>带货效率</x:v>
      </x:c>
      <x:c r="B15" s="59" t="str">
        <x:v>commerce_purchase_intent_score</x:v>
      </x:c>
      <x:c r="C15" s="60" t="n">
        <x:v>5</x:v>
      </x:c>
      <x:c r="D15" s="59" t="str">
        <x:v>评论包含价格、规格、使用、购买意向</x:v>
      </x:c>
    </x:row>
    <x:row r="16">
      <x:c r="A16" s="59" t="str">
        <x:v>带货效率</x:v>
      </x:c>
      <x:c r="B16" s="59" t="str">
        <x:v>commerce_content_ratio_score</x:v>
      </x:c>
      <x:c r="C16" s="60" t="n">
        <x:v>4</x:v>
      </x:c>
      <x:c r="D16" s="59" t="str">
        <x:v>商品与非商品内容比例健康</x:v>
      </x:c>
    </x:row>
    <x:row r="17">
      <x:c r="A17" s="59" t="str">
        <x:v>带货效率</x:v>
      </x:c>
      <x:c r="B17" s="59" t="str">
        <x:v>commerce_explanation_cta_score</x:v>
      </x:c>
      <x:c r="C17" s="60" t="n">
        <x:v>5</x:v>
      </x:c>
      <x:c r="D17" s="59" t="str">
        <x:v>能解释痛点、演示并给出 CTA</x:v>
      </x:c>
    </x:row>
    <x:row r="18">
      <x:c r="A18" s="59" t="str">
        <x:v>带货效率</x:v>
      </x:c>
      <x:c r="B18" s="59" t="str">
        <x:v>commerce_data_score</x:v>
      </x:c>
      <x:c r="C18" s="60" t="n">
        <x:v>5</x:v>
      </x:c>
      <x:c r="D18" s="59" t="str">
        <x:v>仅使用授权获得且口径明确的成交数据</x:v>
      </x:c>
    </x:row>
    <x:row r="19">
      <x:c r="A19" s="59" t="str">
        <x:v>合作执行</x:v>
      </x:c>
      <x:c r="B19" s="59" t="str">
        <x:v>cooperation_contact_score</x:v>
      </x:c>
      <x:c r="C19" s="60" t="n">
        <x:v>5</x:v>
      </x:c>
      <x:c r="D19" s="59" t="str">
        <x:v>存在明确可用的授权联系渠道</x:v>
      </x:c>
    </x:row>
    <x:row r="20">
      <x:c r="A20" s="59" t="str">
        <x:v>合作执行</x:v>
      </x:c>
      <x:c r="B20" s="59" t="str">
        <x:v>cooperation_budget_score</x:v>
      </x:c>
      <x:c r="C20" s="60" t="n">
        <x:v>5</x:v>
      </x:c>
      <x:c r="D20" s="59" t="str">
        <x:v>合作方式与预算匹配</x:v>
      </x:c>
    </x:row>
    <x:row r="21">
      <x:c r="A21" s="59" t="str">
        <x:v>合作执行</x:v>
      </x:c>
      <x:c r="B21" s="59" t="str">
        <x:v>cooperation_history_score</x:v>
      </x:c>
      <x:c r="C21" s="60" t="n">
        <x:v>5</x:v>
      </x:c>
      <x:c r="D21" s="59" t="str">
        <x:v>历史回复、履约、拒绝或勿扰状态</x:v>
      </x:c>
    </x:row>
    <x:row r="22">
      <x:c r="A22" s="59" t="str">
        <x:v>合作执行</x:v>
      </x:c>
      <x:c r="B22" s="59" t="str">
        <x:v>cooperation_schedule_logistics_score</x:v>
      </x:c>
      <x:c r="C22" s="60" t="n">
        <x:v>5</x:v>
      </x:c>
      <x:c r="D22" s="59" t="str">
        <x:v>排期、样品地区和物流可执行</x:v>
      </x:c>
    </x:row>
    <x:row r="23">
      <x:c r="A23" s="59" t="str">
        <x:v>风险扣分</x:v>
      </x:c>
      <x:c r="B23" s="59" t="str">
        <x:v>risk_deduction</x:v>
      </x:c>
      <x:c r="C23" s="60" t="n">
        <x:v>20</x:v>
      </x:c>
      <x:c r="D23" s="59" t="str">
        <x:v>0–20；没有完成风险核查时保持 unknown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8c0ee6074684085"/>
  </x:tableParts>
</x:worksheet>
</file>